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laims" sheetId="2" state="visible" r:id="rId4"/>
    <sheet name="Answer Key" sheetId="3" state="visible" r:id="rId5"/>
    <sheet name="Scrubbing Rul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<sst xmlns="http://schemas.openxmlformats.org/spreadsheetml/2006/main" count="354" uniqueCount="190">
  <si>
    <t xml:space="preserve">Claim Scrubbing Agent — Synthetic Dataset</t>
  </si>
  <si>
    <t xml:space="preserve">Purpose</t>
  </si>
  <si>
    <t xml:space="preserve">Frozen, synthetic claim batch to feed your Copilot Studio agent. No real patient data. Codes are ICD-10 (diagnosis) + CPT (procedure) — the same standard Oman runs on the Dhamani platform.</t>
  </si>
  <si>
    <t xml:space="preserve">How to use</t>
  </si>
  <si>
    <t xml:space="preserve">1) Load the "Claims" sheet into your agent as the input data source. 2) The agent scrubs each claim and predicts denials. 3) Validate the agent output against the "Answer Key" sheet. 4) The "Scrubbing Rules" sheet is the knowledge base your agent reasons against.</t>
  </si>
  <si>
    <t xml:space="preserve">Clean vs dirty</t>
  </si>
  <si>
    <t xml:space="preserve">Claims 1001-1004 are CLEAN (should PASS). Claims 1005-1013 each contain ONE seeded error (should be FLAGGED). A good agent passes the clean ones too — over-flagging looks broken.</t>
  </si>
  <si>
    <t xml:space="preserve">Currency</t>
  </si>
  <si>
    <t xml:space="preserve">Charge amounts are in USD for judge legibility. Swap to OMR if you want full Oman authenticity — the agent logic is currency-agnostic.</t>
  </si>
  <si>
    <t xml:space="preserve">Real-case anchor</t>
  </si>
  <si>
    <t xml:space="preserve">Oman Dhamani rule: insurers must respond to a claim within 45 days. The cash-impact model uses 45 days as the "denied/stuck" assumption vs ~14 days clean. This makes your AR figures defensible and locally authentic.</t>
  </si>
  <si>
    <t xml:space="preserve">IMPORTANT</t>
  </si>
  <si>
    <t xml:space="preserve">Validate every CPT/ICD code against a CURRENT code set before the demo — codes change every January. Accuracy is 20% of your score.</t>
  </si>
  <si>
    <t xml:space="preserve">Demo hero line</t>
  </si>
  <si>
    <t xml:space="preserve">"This run caught $X in at-risk claims before submission." Use the Answer Key batch total.</t>
  </si>
  <si>
    <t xml:space="preserve">Claim ID</t>
  </si>
  <si>
    <t xml:space="preserve">Patient Name</t>
  </si>
  <si>
    <t xml:space="preserve">Member ID</t>
  </si>
  <si>
    <t xml:space="preserve">Payer</t>
  </si>
  <si>
    <t xml:space="preserve">Coverage Start</t>
  </si>
  <si>
    <t xml:space="preserve">Coverage End</t>
  </si>
  <si>
    <t xml:space="preserve">Date of Service</t>
  </si>
  <si>
    <t xml:space="preserve">Submission Date</t>
  </si>
  <si>
    <t xml:space="preserve">Provider NPI</t>
  </si>
  <si>
    <t xml:space="preserve">Place of Service</t>
  </si>
  <si>
    <t xml:space="preserve">Diagnosis (ICD-10)</t>
  </si>
  <si>
    <t xml:space="preserve">Procedure (CPT)</t>
  </si>
  <si>
    <t xml:space="preserve">Modifier</t>
  </si>
  <si>
    <t xml:space="preserve">Units</t>
  </si>
  <si>
    <t xml:space="preserve">Prior Auth #</t>
  </si>
  <si>
    <t xml:space="preserve">Charge Amount (USD)</t>
  </si>
  <si>
    <t xml:space="preserve">CLM-1001</t>
  </si>
  <si>
    <t xml:space="preserve">Aisha N.</t>
  </si>
  <si>
    <t xml:space="preserve">MBR-44821</t>
  </si>
  <si>
    <t xml:space="preserve">Al Madina</t>
  </si>
  <si>
    <t xml:space="preserve">2026-01-01</t>
  </si>
  <si>
    <t xml:space="preserve">2026-12-31</t>
  </si>
  <si>
    <t xml:space="preserve">2026-05-12</t>
  </si>
  <si>
    <t xml:space="preserve">2026-05-15</t>
  </si>
  <si>
    <t xml:space="preserve">1234567890</t>
  </si>
  <si>
    <t xml:space="preserve">11 Office</t>
  </si>
  <si>
    <t xml:space="preserve">E11.9</t>
  </si>
  <si>
    <t xml:space="preserve">99214</t>
  </si>
  <si>
    <t xml:space="preserve">1</t>
  </si>
  <si>
    <t xml:space="preserve">4200</t>
  </si>
  <si>
    <t xml:space="preserve">CLM-1002</t>
  </si>
  <si>
    <t xml:space="preserve">Omar K.</t>
  </si>
  <si>
    <t xml:space="preserve">MBR-51200</t>
  </si>
  <si>
    <t xml:space="preserve">BUPA Arabia</t>
  </si>
  <si>
    <t xml:space="preserve">2026-05-09</t>
  </si>
  <si>
    <t xml:space="preserve">I10</t>
  </si>
  <si>
    <t xml:space="preserve">93000</t>
  </si>
  <si>
    <t xml:space="preserve">620</t>
  </si>
  <si>
    <t xml:space="preserve">CLM-1003</t>
  </si>
  <si>
    <t xml:space="preserve">Fatima S.</t>
  </si>
  <si>
    <t xml:space="preserve">MBR-33910</t>
  </si>
  <si>
    <t xml:space="preserve">Daman</t>
  </si>
  <si>
    <t xml:space="preserve">2026-03-01</t>
  </si>
  <si>
    <t xml:space="preserve">2027-02-28</t>
  </si>
  <si>
    <t xml:space="preserve">2026-05-20</t>
  </si>
  <si>
    <t xml:space="preserve">2026-05-22</t>
  </si>
  <si>
    <t xml:space="preserve">22 Outpatient</t>
  </si>
  <si>
    <t xml:space="preserve">80053</t>
  </si>
  <si>
    <t xml:space="preserve">310</t>
  </si>
  <si>
    <t xml:space="preserve">CLM-1004</t>
  </si>
  <si>
    <t xml:space="preserve">Yousuf A.</t>
  </si>
  <si>
    <t xml:space="preserve">MBR-77410</t>
  </si>
  <si>
    <t xml:space="preserve">2026-04-30</t>
  </si>
  <si>
    <t xml:space="preserve">2026-05-02</t>
  </si>
  <si>
    <t xml:space="preserve">J45.909</t>
  </si>
  <si>
    <t xml:space="preserve">99213</t>
  </si>
  <si>
    <t xml:space="preserve">480</t>
  </si>
  <si>
    <t xml:space="preserve">CLM-1005</t>
  </si>
  <si>
    <t xml:space="preserve">Hana M.</t>
  </si>
  <si>
    <t xml:space="preserve">MBR-22018</t>
  </si>
  <si>
    <t xml:space="preserve">2026-05-14</t>
  </si>
  <si>
    <t xml:space="preserve">CLM-1006</t>
  </si>
  <si>
    <t xml:space="preserve">Khalid R.</t>
  </si>
  <si>
    <t xml:space="preserve">MBR-60125</t>
  </si>
  <si>
    <t xml:space="preserve">2026-05-18</t>
  </si>
  <si>
    <t xml:space="preserve">G43.909</t>
  </si>
  <si>
    <t xml:space="preserve">70553</t>
  </si>
  <si>
    <t xml:space="preserve">9800</t>
  </si>
  <si>
    <t xml:space="preserve">CLM-1007</t>
  </si>
  <si>
    <t xml:space="preserve">Layla T.</t>
  </si>
  <si>
    <t xml:space="preserve">MBR-48800</t>
  </si>
  <si>
    <t xml:space="preserve">2026-05-11</t>
  </si>
  <si>
    <t xml:space="preserve">2026-05-13</t>
  </si>
  <si>
    <t xml:space="preserve">Z00.00</t>
  </si>
  <si>
    <t xml:space="preserve">CLM-1008</t>
  </si>
  <si>
    <t xml:space="preserve">Salim B.</t>
  </si>
  <si>
    <t xml:space="preserve">MBR-19002</t>
  </si>
  <si>
    <t xml:space="preserve">2026-02-01</t>
  </si>
  <si>
    <t xml:space="preserve">2027-01-31</t>
  </si>
  <si>
    <t xml:space="preserve">2026-05-16</t>
  </si>
  <si>
    <t xml:space="preserve">L82.1</t>
  </si>
  <si>
    <t xml:space="preserve">CLM-1009</t>
  </si>
  <si>
    <t xml:space="preserve">Mariam D.</t>
  </si>
  <si>
    <t xml:space="preserve">MBR-55321</t>
  </si>
  <si>
    <t xml:space="preserve">2026-05-19</t>
  </si>
  <si>
    <t xml:space="preserve">2026-05-21</t>
  </si>
  <si>
    <t xml:space="preserve">CLM-1010</t>
  </si>
  <si>
    <t xml:space="preserve">Tariq H.</t>
  </si>
  <si>
    <t xml:space="preserve">MBR-71140</t>
  </si>
  <si>
    <t xml:space="preserve">2026-05-17</t>
  </si>
  <si>
    <t xml:space="preserve">99999</t>
  </si>
  <si>
    <t xml:space="preserve">550</t>
  </si>
  <si>
    <t xml:space="preserve">CLM-1011</t>
  </si>
  <si>
    <t xml:space="preserve">Nadia F.</t>
  </si>
  <si>
    <t xml:space="preserve">MBR-30877</t>
  </si>
  <si>
    <t xml:space="preserve">2026-01-05</t>
  </si>
  <si>
    <t xml:space="preserve">2026-06-01</t>
  </si>
  <si>
    <t xml:space="preserve">CLM-1012</t>
  </si>
  <si>
    <t xml:space="preserve">CLM-1013</t>
  </si>
  <si>
    <t xml:space="preserve">Zayd Q.</t>
  </si>
  <si>
    <t xml:space="preserve">MBR-90455</t>
  </si>
  <si>
    <t xml:space="preserve">Result</t>
  </si>
  <si>
    <t xml:space="preserve">Error Type</t>
  </si>
  <si>
    <t xml:space="preserve">Why it denies (plain English)</t>
  </si>
  <si>
    <t xml:space="preserve">Recommended Fix</t>
  </si>
  <si>
    <t xml:space="preserve">Charge at Risk (USD)</t>
  </si>
  <si>
    <t xml:space="preserve">AR Days if Denied</t>
  </si>
  <si>
    <t xml:space="preserve">Rework Cost (USD)</t>
  </si>
  <si>
    <t xml:space="preserve">PASS</t>
  </si>
  <si>
    <t xml:space="preserve">—</t>
  </si>
  <si>
    <t xml:space="preserve">Diabetes dx supports a moderate E/M visit. Eligible, timely.</t>
  </si>
  <si>
    <t xml:space="preserve">None — submit.</t>
  </si>
  <si>
    <t xml:space="preserve">0</t>
  </si>
  <si>
    <t xml:space="preserve">EKG supported by hypertension dx. Clean.</t>
  </si>
  <si>
    <t xml:space="preserve">Metabolic panel supported by diabetes dx. Clean.</t>
  </si>
  <si>
    <t xml:space="preserve">Established visit supported by asthma dx. Clean.</t>
  </si>
  <si>
    <t xml:space="preserve">FLAG</t>
  </si>
  <si>
    <t xml:space="preserve">Eligibility</t>
  </si>
  <si>
    <t xml:space="preserve">Date of service (May 12) falls AFTER coverage ended (Apr 30). Patient not covered.</t>
  </si>
  <si>
    <t xml:space="preserve">Verify active coverage / bill patient or correct payer.</t>
  </si>
  <si>
    <t xml:space="preserve">45</t>
  </si>
  <si>
    <t xml:space="preserve">50</t>
  </si>
  <si>
    <t xml:space="preserve">Missing prior auth</t>
  </si>
  <si>
    <t xml:space="preserve">MRI brain (70553) requires prior authorization; auth field is blank.</t>
  </si>
  <si>
    <t xml:space="preserve">Obtain and attach prior authorization before submission.</t>
  </si>
  <si>
    <t xml:space="preserve">Medical necessity</t>
  </si>
  <si>
    <t xml:space="preserve">Problem visit (99214) billed with only a routine-exam dx (Z00.00) — dx does not justify the visit.</t>
  </si>
  <si>
    <t xml:space="preserve">Attach the problem-oriented diagnosis from the encounter, or recode visit level.</t>
  </si>
  <si>
    <t xml:space="preserve">Missing modifier</t>
  </si>
  <si>
    <t xml:space="preserve">E/M (99213) billed same day as a procedure without modifier 25 to show it was separately identifiable.</t>
  </si>
  <si>
    <t xml:space="preserve">Append modifier 25 to the E/M if documentation supports a separate service.</t>
  </si>
  <si>
    <t xml:space="preserve">Bundling (NCCI)</t>
  </si>
  <si>
    <t xml:space="preserve">Comprehensive metabolic panel (80053) already includes the basic panel — unbundling.</t>
  </si>
  <si>
    <t xml:space="preserve">Bill 80053 alone; remove the bundled component.</t>
  </si>
  <si>
    <t xml:space="preserve">Invalid code</t>
  </si>
  <si>
    <t xml:space="preserve">99999 is not a valid CPT code.</t>
  </si>
  <si>
    <t xml:space="preserve">Replace with the correct, current CPT for the service performed.</t>
  </si>
  <si>
    <t xml:space="preserve">Timely filing</t>
  </si>
  <si>
    <t xml:space="preserve">Service Jan 5, submitted Jun 1 — beyond the payer filing window (e.g. 90 days).</t>
  </si>
  <si>
    <t xml:space="preserve">Submit within the deadline; if past, file an exception/appeal with justification.</t>
  </si>
  <si>
    <t xml:space="preserve">Duplicate</t>
  </si>
  <si>
    <t xml:space="preserve">Same patient, payer, date of service and CPT as CLM-1002 — duplicate submission.</t>
  </si>
  <si>
    <t xml:space="preserve">Do not resubmit; reconcile against the original claim.</t>
  </si>
  <si>
    <t xml:space="preserve">Coordination of benefits</t>
  </si>
  <si>
    <t xml:space="preserve">Patient has secondary coverage billed as primary — wrong payer order.</t>
  </si>
  <si>
    <t xml:space="preserve">Confirm primary payer and rebill in correct COB order.</t>
  </si>
  <si>
    <t xml:space="preserve">BATCH SUMMARY</t>
  </si>
  <si>
    <t xml:space="preserve">Total claims in batch</t>
  </si>
  <si>
    <t xml:space="preserve">Clean (pass)</t>
  </si>
  <si>
    <t xml:space="preserve">Flagged (denial risk caught)</t>
  </si>
  <si>
    <t xml:space="preserve">Total cash at risk (USD)</t>
  </si>
  <si>
    <t xml:space="preserve">Total rework cost avoided (USD)</t>
  </si>
  <si>
    <t xml:space="preserve">First-pass clean rate</t>
  </si>
  <si>
    <t xml:space="preserve">Check</t>
  </si>
  <si>
    <t xml:space="preserve">Rule the agent applies</t>
  </si>
  <si>
    <t xml:space="preserve">1. Eligibility</t>
  </si>
  <si>
    <t xml:space="preserve">Date of service must fall on/after Coverage Start and on/before Coverage End. Else: deny (coverage inactive).</t>
  </si>
  <si>
    <t xml:space="preserve">2. Prior authorization</t>
  </si>
  <si>
    <t xml:space="preserve">These CPTs require a prior auth number: 70553 (MRI brain), 70551 (MRI brain no contrast), 72148 (MRI lumbar), 74177 (CT abd/pelvis). If required and Prior Auth # is blank: deny.</t>
  </si>
  <si>
    <t xml:space="preserve">3. Code validity</t>
  </si>
  <si>
    <t xml:space="preserve">Procedure must be a valid current CPT (5 digits). 99999 and other non-existent codes: deny. Diagnosis must be a valid ICD-10.</t>
  </si>
  <si>
    <t xml:space="preserve">4. Medical necessity</t>
  </si>
  <si>
    <t xml:space="preserve">Diagnosis must support the procedure. A routine-exam dx (Z00.00, Z00.01) does NOT support a problem-focused E/M (99213/99214/99215). Mismatch: deny.</t>
  </si>
  <si>
    <t xml:space="preserve">5. Modifier</t>
  </si>
  <si>
    <t xml:space="preserve">When an E/M (9921x) is billed on the same day as a procedure, modifier 25 must be on the E/M. When two distinct procedures are billed, modifier 59 may be required. Missing required modifier: deny.</t>
  </si>
  <si>
    <t xml:space="preserve">6. Bundling (NCCI)</t>
  </si>
  <si>
    <t xml:space="preserve">Do not bill a component panel with its comprehensive panel. 80053 (CMP) already contains 80048 (BMP) — billing both is unbundling: deny the bundled component.</t>
  </si>
  <si>
    <t xml:space="preserve">7. Timely filing</t>
  </si>
  <si>
    <t xml:space="preserve">Submission Date minus Date of Service must be within the payer window. Default rule for this dataset: 90 days. Beyond it: deny (timely filing).</t>
  </si>
  <si>
    <t xml:space="preserve">8. Duplicate</t>
  </si>
  <si>
    <t xml:space="preserve">If another claim shares the same Member ID + Date of Service + CPT, flag as a duplicate: deny.</t>
  </si>
  <si>
    <t xml:space="preserve">9. Coordination of benefits</t>
  </si>
  <si>
    <t xml:space="preserve">If the patient has more than one plan, the primary payer must be billed first. Wrong order: deny (COB).</t>
  </si>
  <si>
    <t xml:space="preserve">Cash-impact model</t>
  </si>
  <si>
    <t xml:space="preserve">Cash at risk = Charge Amount. If denied: assume 45 days stuck in AR (Oman Dhamani response window) vs ~14 days for a clean claim, plus a rework cost (industry ~$25-118; this dataset uses $50). Batch value = sum of at-risk charges + rework avoided.</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</si>
</sst>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1"/>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6" fontId="6" fillId="5" borderId="1" xfId="0" applyFont="true" applyBorder="true" applyAlignment="true" applyProtection="false">
      <alignment horizontal="center" vertical="center" textRotation="0" wrapText="false" indent="0" shrinkToFit="false"/>
      <protection locked="true" hidden="false"/>
    </xf>
    <xf numFmtId="167" fontId="6" fillId="5"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95"/>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23.85" hidden="false" customHeight="false" outlineLevel="0" collapsed="false">
      <c r="A6" s="2" t="s">
        <v>7</v>
      </c>
      <c r="B6" s="3" t="s">
        <v>8</v>
      </c>
    </row>
    <row r="7" customFormat="false" ht="23.85" hidden="false" customHeight="false" outlineLevel="0" collapsed="false">
      <c r="A7" s="2" t="s">
        <v>9</v>
      </c>
      <c r="B7" s="3" t="s">
        <v>10</v>
      </c>
    </row>
    <row r="8" customFormat="false" ht="23.8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c r="B1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2"/>
    <col collapsed="false" customWidth="true" hidden="false" outlineLevel="0" max="7" min="4" style="0" width="13"/>
    <col collapsed="false" customWidth="true" hidden="false" outlineLevel="0" max="8" min="8" style="0" width="14"/>
    <col collapsed="false" customWidth="true" hidden="false" outlineLevel="0" max="9" min="9" style="0" width="12"/>
    <col collapsed="false" customWidth="true" hidden="false" outlineLevel="0" max="11" min="10" style="0" width="15"/>
    <col collapsed="false" customWidth="true" hidden="false" outlineLevel="0" max="12" min="12" style="0" width="12"/>
    <col collapsed="false" customWidth="true" hidden="false" outlineLevel="0" max="13" min="13" style="0" width="9"/>
    <col collapsed="false" customWidth="true" hidden="false" outlineLevel="0" max="14" min="14" style="0" width="7"/>
    <col collapsed="false" customWidth="true" hidden="false" outlineLevel="0" max="15" min="15" style="0" width="12"/>
    <col collapsed="false" customWidth="true" hidden="false" outlineLevel="0" max="16" min="16" style="0" width="16"/>
  </cols>
  <sheetData>
    <row r="1" customFormat="false" ht="23.85" hidden="false" customHeight="false" outlineLevel="0" collapsed="false">
      <c r="A1" s="4" t="s">
        <v>15</v>
      </c>
      <c r="B1" s="4" t="s">
        <v>16</v>
      </c>
      <c r="C1" s="4" t="s">
        <v>17</v>
      </c>
      <c r="D1" s="4" t="s">
        <v>18</v>
      </c>
      <c r="E1" s="4" t="s">
        <v>19</v>
      </c>
      <c r="F1" s="4" t="s">
        <v>20</v>
      </c>
      <c r="G1" s="4" t="s">
        <v>21</v>
      </c>
      <c r="H1" s="4" t="s">
        <v>22</v>
      </c>
      <c r="I1" s="4" t="s">
        <v>23</v>
      </c>
      <c r="J1" s="4" t="s">
        <v>24</v>
      </c>
      <c r="K1" s="4" t="s">
        <v>25</v>
      </c>
      <c r="L1" s="4" t="s">
        <v>26</v>
      </c>
      <c r="M1" s="4" t="s">
        <v>27</v>
      </c>
      <c r="N1" s="4" t="s">
        <v>28</v>
      </c>
      <c r="O1" s="4" t="s">
        <v>29</v>
      </c>
      <c r="P1" s="4" t="s">
        <v>30</v>
      </c>
    </row>
    <row r="2" customFormat="false" ht="15" hidden="false" customHeight="false" outlineLevel="0" collapsed="false">
      <c r="A2" s="5" t="s">
        <v>31</v>
      </c>
      <c r="B2" s="5" t="s">
        <v>32</v>
      </c>
      <c r="C2" s="5" t="s">
        <v>33</v>
      </c>
      <c r="D2" s="5" t="s">
        <v>34</v>
      </c>
      <c r="E2" s="5" t="s">
        <v>35</v>
      </c>
      <c r="F2" s="5" t="s">
        <v>36</v>
      </c>
      <c r="G2" s="5" t="s">
        <v>37</v>
      </c>
      <c r="H2" s="5" t="s">
        <v>38</v>
      </c>
      <c r="I2" s="5" t="s">
        <v>39</v>
      </c>
      <c r="J2" s="5" t="s">
        <v>40</v>
      </c>
      <c r="K2" s="5" t="s">
        <v>41</v>
      </c>
      <c r="L2" s="5" t="s">
        <v>42</v>
      </c>
      <c r="M2" s="5"/>
      <c r="N2" s="5" t="s">
        <v>43</v>
      </c>
      <c r="O2" s="5"/>
      <c r="P2" s="5" t="s">
        <v>44</v>
      </c>
    </row>
    <row r="3" customFormat="false" ht="15" hidden="false" customHeight="false" outlineLevel="0" collapsed="false">
      <c r="A3" s="5" t="s">
        <v>45</v>
      </c>
      <c r="B3" s="5" t="s">
        <v>46</v>
      </c>
      <c r="C3" s="5" t="s">
        <v>47</v>
      </c>
      <c r="D3" s="5" t="s">
        <v>48</v>
      </c>
      <c r="E3" s="5" t="s">
        <v>35</v>
      </c>
      <c r="F3" s="5" t="s">
        <v>36</v>
      </c>
      <c r="G3" s="5" t="s">
        <v>49</v>
      </c>
      <c r="H3" s="5" t="s">
        <v>37</v>
      </c>
      <c r="I3" s="5" t="s">
        <v>39</v>
      </c>
      <c r="J3" s="5" t="s">
        <v>40</v>
      </c>
      <c r="K3" s="5" t="s">
        <v>50</v>
      </c>
      <c r="L3" s="5" t="s">
        <v>51</v>
      </c>
      <c r="M3" s="5"/>
      <c r="N3" s="5" t="s">
        <v>43</v>
      </c>
      <c r="O3" s="5"/>
      <c r="P3" s="5" t="s">
        <v>52</v>
      </c>
    </row>
    <row r="4" customFormat="false" ht="15" hidden="false" customHeight="false" outlineLevel="0" collapsed="false">
      <c r="A4" s="5" t="s">
        <v>53</v>
      </c>
      <c r="B4" s="5" t="s">
        <v>54</v>
      </c>
      <c r="C4" s="5" t="s">
        <v>55</v>
      </c>
      <c r="D4" s="5" t="s">
        <v>56</v>
      </c>
      <c r="E4" s="5" t="s">
        <v>57</v>
      </c>
      <c r="F4" s="5" t="s">
        <v>58</v>
      </c>
      <c r="G4" s="5" t="s">
        <v>59</v>
      </c>
      <c r="H4" s="5" t="s">
        <v>60</v>
      </c>
      <c r="I4" s="5" t="s">
        <v>39</v>
      </c>
      <c r="J4" s="5" t="s">
        <v>61</v>
      </c>
      <c r="K4" s="5" t="s">
        <v>41</v>
      </c>
      <c r="L4" s="5" t="s">
        <v>62</v>
      </c>
      <c r="M4" s="5"/>
      <c r="N4" s="5" t="s">
        <v>43</v>
      </c>
      <c r="O4" s="5"/>
      <c r="P4" s="5" t="s">
        <v>63</v>
      </c>
    </row>
    <row r="5" customFormat="false" ht="15" hidden="false" customHeight="false" outlineLevel="0" collapsed="false">
      <c r="A5" s="5" t="s">
        <v>64</v>
      </c>
      <c r="B5" s="5" t="s">
        <v>65</v>
      </c>
      <c r="C5" s="5" t="s">
        <v>66</v>
      </c>
      <c r="D5" s="5" t="s">
        <v>34</v>
      </c>
      <c r="E5" s="5" t="s">
        <v>35</v>
      </c>
      <c r="F5" s="5" t="s">
        <v>36</v>
      </c>
      <c r="G5" s="5" t="s">
        <v>67</v>
      </c>
      <c r="H5" s="5" t="s">
        <v>68</v>
      </c>
      <c r="I5" s="5" t="s">
        <v>39</v>
      </c>
      <c r="J5" s="5" t="s">
        <v>40</v>
      </c>
      <c r="K5" s="5" t="s">
        <v>69</v>
      </c>
      <c r="L5" s="5" t="s">
        <v>70</v>
      </c>
      <c r="M5" s="5"/>
      <c r="N5" s="5" t="s">
        <v>43</v>
      </c>
      <c r="O5" s="5"/>
      <c r="P5" s="5" t="s">
        <v>71</v>
      </c>
    </row>
    <row r="6" customFormat="false" ht="15" hidden="false" customHeight="false" outlineLevel="0" collapsed="false">
      <c r="A6" s="5" t="s">
        <v>72</v>
      </c>
      <c r="B6" s="5" t="s">
        <v>73</v>
      </c>
      <c r="C6" s="5" t="s">
        <v>74</v>
      </c>
      <c r="D6" s="5" t="s">
        <v>48</v>
      </c>
      <c r="E6" s="5" t="s">
        <v>35</v>
      </c>
      <c r="F6" s="5" t="s">
        <v>67</v>
      </c>
      <c r="G6" s="5" t="s">
        <v>37</v>
      </c>
      <c r="H6" s="5" t="s">
        <v>75</v>
      </c>
      <c r="I6" s="5" t="s">
        <v>39</v>
      </c>
      <c r="J6" s="5" t="s">
        <v>40</v>
      </c>
      <c r="K6" s="5" t="s">
        <v>50</v>
      </c>
      <c r="L6" s="5" t="s">
        <v>42</v>
      </c>
      <c r="M6" s="5"/>
      <c r="N6" s="5" t="s">
        <v>43</v>
      </c>
      <c r="O6" s="5"/>
      <c r="P6" s="5" t="s">
        <v>44</v>
      </c>
    </row>
    <row r="7" customFormat="false" ht="15" hidden="false" customHeight="false" outlineLevel="0" collapsed="false">
      <c r="A7" s="5" t="s">
        <v>76</v>
      </c>
      <c r="B7" s="5" t="s">
        <v>77</v>
      </c>
      <c r="C7" s="5" t="s">
        <v>78</v>
      </c>
      <c r="D7" s="5" t="s">
        <v>56</v>
      </c>
      <c r="E7" s="5" t="s">
        <v>35</v>
      </c>
      <c r="F7" s="5" t="s">
        <v>36</v>
      </c>
      <c r="G7" s="5" t="s">
        <v>79</v>
      </c>
      <c r="H7" s="5" t="s">
        <v>59</v>
      </c>
      <c r="I7" s="5" t="s">
        <v>39</v>
      </c>
      <c r="J7" s="5" t="s">
        <v>61</v>
      </c>
      <c r="K7" s="5" t="s">
        <v>80</v>
      </c>
      <c r="L7" s="5" t="s">
        <v>81</v>
      </c>
      <c r="M7" s="5"/>
      <c r="N7" s="5" t="s">
        <v>43</v>
      </c>
      <c r="O7" s="5"/>
      <c r="P7" s="5" t="s">
        <v>82</v>
      </c>
    </row>
    <row r="8" customFormat="false" ht="15" hidden="false" customHeight="false" outlineLevel="0" collapsed="false">
      <c r="A8" s="5" t="s">
        <v>83</v>
      </c>
      <c r="B8" s="5" t="s">
        <v>84</v>
      </c>
      <c r="C8" s="5" t="s">
        <v>85</v>
      </c>
      <c r="D8" s="5" t="s">
        <v>34</v>
      </c>
      <c r="E8" s="5" t="s">
        <v>35</v>
      </c>
      <c r="F8" s="5" t="s">
        <v>36</v>
      </c>
      <c r="G8" s="5" t="s">
        <v>86</v>
      </c>
      <c r="H8" s="5" t="s">
        <v>87</v>
      </c>
      <c r="I8" s="5" t="s">
        <v>39</v>
      </c>
      <c r="J8" s="5" t="s">
        <v>40</v>
      </c>
      <c r="K8" s="5" t="s">
        <v>88</v>
      </c>
      <c r="L8" s="5" t="s">
        <v>42</v>
      </c>
      <c r="M8" s="5"/>
      <c r="N8" s="5" t="s">
        <v>43</v>
      </c>
      <c r="O8" s="5"/>
      <c r="P8" s="5" t="s">
        <v>44</v>
      </c>
    </row>
    <row r="9" customFormat="false" ht="15" hidden="false" customHeight="false" outlineLevel="0" collapsed="false">
      <c r="A9" s="5" t="s">
        <v>89</v>
      </c>
      <c r="B9" s="5" t="s">
        <v>90</v>
      </c>
      <c r="C9" s="5" t="s">
        <v>91</v>
      </c>
      <c r="D9" s="5" t="s">
        <v>56</v>
      </c>
      <c r="E9" s="5" t="s">
        <v>92</v>
      </c>
      <c r="F9" s="5" t="s">
        <v>93</v>
      </c>
      <c r="G9" s="5" t="s">
        <v>75</v>
      </c>
      <c r="H9" s="5" t="s">
        <v>94</v>
      </c>
      <c r="I9" s="5" t="s">
        <v>39</v>
      </c>
      <c r="J9" s="5" t="s">
        <v>40</v>
      </c>
      <c r="K9" s="5" t="s">
        <v>95</v>
      </c>
      <c r="L9" s="5" t="s">
        <v>70</v>
      </c>
      <c r="M9" s="5"/>
      <c r="N9" s="5" t="s">
        <v>43</v>
      </c>
      <c r="O9" s="5"/>
      <c r="P9" s="5" t="s">
        <v>71</v>
      </c>
    </row>
    <row r="10" customFormat="false" ht="15" hidden="false" customHeight="false" outlineLevel="0" collapsed="false">
      <c r="A10" s="5" t="s">
        <v>96</v>
      </c>
      <c r="B10" s="5" t="s">
        <v>97</v>
      </c>
      <c r="C10" s="5" t="s">
        <v>98</v>
      </c>
      <c r="D10" s="5" t="s">
        <v>48</v>
      </c>
      <c r="E10" s="5" t="s">
        <v>35</v>
      </c>
      <c r="F10" s="5" t="s">
        <v>36</v>
      </c>
      <c r="G10" s="5" t="s">
        <v>99</v>
      </c>
      <c r="H10" s="5" t="s">
        <v>100</v>
      </c>
      <c r="I10" s="5" t="s">
        <v>39</v>
      </c>
      <c r="J10" s="5" t="s">
        <v>61</v>
      </c>
      <c r="K10" s="5" t="s">
        <v>41</v>
      </c>
      <c r="L10" s="5" t="s">
        <v>62</v>
      </c>
      <c r="M10" s="5"/>
      <c r="N10" s="5" t="s">
        <v>43</v>
      </c>
      <c r="O10" s="5"/>
      <c r="P10" s="5" t="s">
        <v>63</v>
      </c>
    </row>
    <row r="11" customFormat="false" ht="15" hidden="false" customHeight="false" outlineLevel="0" collapsed="false">
      <c r="A11" s="5" t="s">
        <v>101</v>
      </c>
      <c r="B11" s="5" t="s">
        <v>102</v>
      </c>
      <c r="C11" s="5" t="s">
        <v>103</v>
      </c>
      <c r="D11" s="5" t="s">
        <v>34</v>
      </c>
      <c r="E11" s="5" t="s">
        <v>35</v>
      </c>
      <c r="F11" s="5" t="s">
        <v>36</v>
      </c>
      <c r="G11" s="5" t="s">
        <v>104</v>
      </c>
      <c r="H11" s="5" t="s">
        <v>99</v>
      </c>
      <c r="I11" s="5" t="s">
        <v>39</v>
      </c>
      <c r="J11" s="5" t="s">
        <v>40</v>
      </c>
      <c r="K11" s="5" t="s">
        <v>50</v>
      </c>
      <c r="L11" s="5" t="s">
        <v>105</v>
      </c>
      <c r="M11" s="5"/>
      <c r="N11" s="5" t="s">
        <v>43</v>
      </c>
      <c r="O11" s="5"/>
      <c r="P11" s="5" t="s">
        <v>106</v>
      </c>
    </row>
    <row r="12" customFormat="false" ht="15" hidden="false" customHeight="false" outlineLevel="0" collapsed="false">
      <c r="A12" s="5" t="s">
        <v>107</v>
      </c>
      <c r="B12" s="5" t="s">
        <v>108</v>
      </c>
      <c r="C12" s="5" t="s">
        <v>109</v>
      </c>
      <c r="D12" s="5" t="s">
        <v>56</v>
      </c>
      <c r="E12" s="5" t="s">
        <v>35</v>
      </c>
      <c r="F12" s="5" t="s">
        <v>36</v>
      </c>
      <c r="G12" s="5" t="s">
        <v>110</v>
      </c>
      <c r="H12" s="5" t="s">
        <v>111</v>
      </c>
      <c r="I12" s="5" t="s">
        <v>39</v>
      </c>
      <c r="J12" s="5" t="s">
        <v>40</v>
      </c>
      <c r="K12" s="5" t="s">
        <v>69</v>
      </c>
      <c r="L12" s="5" t="s">
        <v>42</v>
      </c>
      <c r="M12" s="5"/>
      <c r="N12" s="5" t="s">
        <v>43</v>
      </c>
      <c r="O12" s="5"/>
      <c r="P12" s="5" t="s">
        <v>44</v>
      </c>
    </row>
    <row r="13" customFormat="false" ht="15" hidden="false" customHeight="false" outlineLevel="0" collapsed="false">
      <c r="A13" s="5" t="s">
        <v>112</v>
      </c>
      <c r="B13" s="5" t="s">
        <v>46</v>
      </c>
      <c r="C13" s="5" t="s">
        <v>47</v>
      </c>
      <c r="D13" s="5" t="s">
        <v>48</v>
      </c>
      <c r="E13" s="5" t="s">
        <v>35</v>
      </c>
      <c r="F13" s="5" t="s">
        <v>36</v>
      </c>
      <c r="G13" s="5" t="s">
        <v>49</v>
      </c>
      <c r="H13" s="5" t="s">
        <v>87</v>
      </c>
      <c r="I13" s="5" t="s">
        <v>39</v>
      </c>
      <c r="J13" s="5" t="s">
        <v>40</v>
      </c>
      <c r="K13" s="5" t="s">
        <v>50</v>
      </c>
      <c r="L13" s="5" t="s">
        <v>51</v>
      </c>
      <c r="M13" s="5"/>
      <c r="N13" s="5" t="s">
        <v>43</v>
      </c>
      <c r="O13" s="5"/>
      <c r="P13" s="5" t="s">
        <v>52</v>
      </c>
    </row>
    <row r="14" customFormat="false" ht="15" hidden="false" customHeight="false" outlineLevel="0" collapsed="false">
      <c r="A14" s="5" t="s">
        <v>113</v>
      </c>
      <c r="B14" s="5" t="s">
        <v>114</v>
      </c>
      <c r="C14" s="5" t="s">
        <v>115</v>
      </c>
      <c r="D14" s="5" t="s">
        <v>34</v>
      </c>
      <c r="E14" s="5" t="s">
        <v>35</v>
      </c>
      <c r="F14" s="5" t="s">
        <v>36</v>
      </c>
      <c r="G14" s="5" t="s">
        <v>38</v>
      </c>
      <c r="H14" s="5" t="s">
        <v>104</v>
      </c>
      <c r="I14" s="5" t="s">
        <v>39</v>
      </c>
      <c r="J14" s="5" t="s">
        <v>40</v>
      </c>
      <c r="K14" s="5" t="s">
        <v>41</v>
      </c>
      <c r="L14" s="5" t="s">
        <v>42</v>
      </c>
      <c r="M14" s="5"/>
      <c r="N14" s="5" t="s">
        <v>43</v>
      </c>
      <c r="O14" s="5"/>
      <c r="P14" s="5"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18"/>
    <col collapsed="false" customWidth="true" hidden="false" outlineLevel="0" max="5" min="4" style="0" width="46"/>
    <col collapsed="false" customWidth="true" hidden="false" outlineLevel="0" max="6" min="6" style="0" width="17"/>
    <col collapsed="false" customWidth="true" hidden="false" outlineLevel="0" max="8" min="7" style="0" width="15"/>
  </cols>
  <sheetData>
    <row r="1" customFormat="false" ht="23.85" hidden="false" customHeight="false" outlineLevel="0" collapsed="false">
      <c r="A1" s="4" t="s">
        <v>15</v>
      </c>
      <c r="B1" s="4" t="s">
        <v>116</v>
      </c>
      <c r="C1" s="4" t="s">
        <v>117</v>
      </c>
      <c r="D1" s="4" t="s">
        <v>118</v>
      </c>
      <c r="E1" s="4" t="s">
        <v>119</v>
      </c>
      <c r="F1" s="4" t="s">
        <v>120</v>
      </c>
      <c r="G1" s="4" t="s">
        <v>121</v>
      </c>
      <c r="H1" s="4" t="s">
        <v>122</v>
      </c>
    </row>
    <row r="2" customFormat="false" ht="23.85" hidden="false" customHeight="false" outlineLevel="0" collapsed="false">
      <c r="A2" s="6" t="s">
        <v>31</v>
      </c>
      <c r="B2" s="6" t="s">
        <v>123</v>
      </c>
      <c r="C2" s="6" t="s">
        <v>124</v>
      </c>
      <c r="D2" s="7" t="s">
        <v>125</v>
      </c>
      <c r="E2" s="7" t="s">
        <v>126</v>
      </c>
      <c r="F2" s="6" t="s">
        <v>127</v>
      </c>
      <c r="G2" s="6" t="s">
        <v>127</v>
      </c>
      <c r="H2" s="6" t="s">
        <v>127</v>
      </c>
    </row>
    <row r="3" customFormat="false" ht="15" hidden="false" customHeight="false" outlineLevel="0" collapsed="false">
      <c r="A3" s="6" t="s">
        <v>45</v>
      </c>
      <c r="B3" s="6" t="s">
        <v>123</v>
      </c>
      <c r="C3" s="6" t="s">
        <v>124</v>
      </c>
      <c r="D3" s="7" t="s">
        <v>128</v>
      </c>
      <c r="E3" s="7" t="s">
        <v>126</v>
      </c>
      <c r="F3" s="6" t="s">
        <v>127</v>
      </c>
      <c r="G3" s="6" t="s">
        <v>127</v>
      </c>
      <c r="H3" s="6" t="s">
        <v>127</v>
      </c>
    </row>
    <row r="4" customFormat="false" ht="15" hidden="false" customHeight="false" outlineLevel="0" collapsed="false">
      <c r="A4" s="6" t="s">
        <v>53</v>
      </c>
      <c r="B4" s="6" t="s">
        <v>123</v>
      </c>
      <c r="C4" s="6" t="s">
        <v>124</v>
      </c>
      <c r="D4" s="7" t="s">
        <v>129</v>
      </c>
      <c r="E4" s="7" t="s">
        <v>126</v>
      </c>
      <c r="F4" s="6" t="s">
        <v>127</v>
      </c>
      <c r="G4" s="6" t="s">
        <v>127</v>
      </c>
      <c r="H4" s="6" t="s">
        <v>127</v>
      </c>
    </row>
    <row r="5" customFormat="false" ht="15" hidden="false" customHeight="false" outlineLevel="0" collapsed="false">
      <c r="A5" s="6" t="s">
        <v>64</v>
      </c>
      <c r="B5" s="6" t="s">
        <v>123</v>
      </c>
      <c r="C5" s="6" t="s">
        <v>124</v>
      </c>
      <c r="D5" s="7" t="s">
        <v>130</v>
      </c>
      <c r="E5" s="7" t="s">
        <v>126</v>
      </c>
      <c r="F5" s="6" t="s">
        <v>127</v>
      </c>
      <c r="G5" s="6" t="s">
        <v>127</v>
      </c>
      <c r="H5" s="6" t="s">
        <v>127</v>
      </c>
    </row>
    <row r="6" customFormat="false" ht="23.85" hidden="false" customHeight="false" outlineLevel="0" collapsed="false">
      <c r="A6" s="8" t="s">
        <v>72</v>
      </c>
      <c r="B6" s="8" t="s">
        <v>131</v>
      </c>
      <c r="C6" s="8" t="s">
        <v>132</v>
      </c>
      <c r="D6" s="9" t="s">
        <v>133</v>
      </c>
      <c r="E6" s="9" t="s">
        <v>134</v>
      </c>
      <c r="F6" s="8" t="s">
        <v>44</v>
      </c>
      <c r="G6" s="8" t="s">
        <v>135</v>
      </c>
      <c r="H6" s="8" t="s">
        <v>136</v>
      </c>
    </row>
    <row r="7" customFormat="false" ht="23.85" hidden="false" customHeight="false" outlineLevel="0" collapsed="false">
      <c r="A7" s="8" t="s">
        <v>76</v>
      </c>
      <c r="B7" s="8" t="s">
        <v>131</v>
      </c>
      <c r="C7" s="8" t="s">
        <v>137</v>
      </c>
      <c r="D7" s="9" t="s">
        <v>138</v>
      </c>
      <c r="E7" s="9" t="s">
        <v>139</v>
      </c>
      <c r="F7" s="8" t="s">
        <v>82</v>
      </c>
      <c r="G7" s="8" t="s">
        <v>135</v>
      </c>
      <c r="H7" s="8" t="s">
        <v>136</v>
      </c>
    </row>
    <row r="8" customFormat="false" ht="23.85" hidden="false" customHeight="false" outlineLevel="0" collapsed="false">
      <c r="A8" s="8" t="s">
        <v>83</v>
      </c>
      <c r="B8" s="8" t="s">
        <v>131</v>
      </c>
      <c r="C8" s="8" t="s">
        <v>140</v>
      </c>
      <c r="D8" s="9" t="s">
        <v>141</v>
      </c>
      <c r="E8" s="9" t="s">
        <v>142</v>
      </c>
      <c r="F8" s="8" t="s">
        <v>44</v>
      </c>
      <c r="G8" s="8" t="s">
        <v>135</v>
      </c>
      <c r="H8" s="8" t="s">
        <v>136</v>
      </c>
    </row>
    <row r="9" customFormat="false" ht="23.85" hidden="false" customHeight="false" outlineLevel="0" collapsed="false">
      <c r="A9" s="8" t="s">
        <v>89</v>
      </c>
      <c r="B9" s="8" t="s">
        <v>131</v>
      </c>
      <c r="C9" s="8" t="s">
        <v>143</v>
      </c>
      <c r="D9" s="9" t="s">
        <v>144</v>
      </c>
      <c r="E9" s="9" t="s">
        <v>145</v>
      </c>
      <c r="F9" s="8" t="s">
        <v>71</v>
      </c>
      <c r="G9" s="8" t="s">
        <v>135</v>
      </c>
      <c r="H9" s="8" t="s">
        <v>136</v>
      </c>
    </row>
    <row r="10" customFormat="false" ht="23.85" hidden="false" customHeight="false" outlineLevel="0" collapsed="false">
      <c r="A10" s="8" t="s">
        <v>96</v>
      </c>
      <c r="B10" s="8" t="s">
        <v>131</v>
      </c>
      <c r="C10" s="8" t="s">
        <v>146</v>
      </c>
      <c r="D10" s="9" t="s">
        <v>147</v>
      </c>
      <c r="E10" s="9" t="s">
        <v>148</v>
      </c>
      <c r="F10" s="8" t="s">
        <v>63</v>
      </c>
      <c r="G10" s="8" t="s">
        <v>135</v>
      </c>
      <c r="H10" s="8" t="s">
        <v>136</v>
      </c>
    </row>
    <row r="11" customFormat="false" ht="23.85" hidden="false" customHeight="false" outlineLevel="0" collapsed="false">
      <c r="A11" s="8" t="s">
        <v>101</v>
      </c>
      <c r="B11" s="8" t="s">
        <v>131</v>
      </c>
      <c r="C11" s="8" t="s">
        <v>149</v>
      </c>
      <c r="D11" s="9" t="s">
        <v>150</v>
      </c>
      <c r="E11" s="9" t="s">
        <v>151</v>
      </c>
      <c r="F11" s="8" t="s">
        <v>106</v>
      </c>
      <c r="G11" s="8" t="s">
        <v>135</v>
      </c>
      <c r="H11" s="8" t="s">
        <v>136</v>
      </c>
    </row>
    <row r="12" customFormat="false" ht="23.85" hidden="false" customHeight="false" outlineLevel="0" collapsed="false">
      <c r="A12" s="8" t="s">
        <v>107</v>
      </c>
      <c r="B12" s="8" t="s">
        <v>131</v>
      </c>
      <c r="C12" s="8" t="s">
        <v>152</v>
      </c>
      <c r="D12" s="9" t="s">
        <v>153</v>
      </c>
      <c r="E12" s="9" t="s">
        <v>154</v>
      </c>
      <c r="F12" s="8" t="s">
        <v>44</v>
      </c>
      <c r="G12" s="8" t="s">
        <v>135</v>
      </c>
      <c r="H12" s="8" t="s">
        <v>136</v>
      </c>
    </row>
    <row r="13" customFormat="false" ht="23.85" hidden="false" customHeight="false" outlineLevel="0" collapsed="false">
      <c r="A13" s="8" t="s">
        <v>112</v>
      </c>
      <c r="B13" s="8" t="s">
        <v>131</v>
      </c>
      <c r="C13" s="8" t="s">
        <v>155</v>
      </c>
      <c r="D13" s="9" t="s">
        <v>156</v>
      </c>
      <c r="E13" s="9" t="s">
        <v>157</v>
      </c>
      <c r="F13" s="8" t="s">
        <v>52</v>
      </c>
      <c r="G13" s="8" t="s">
        <v>135</v>
      </c>
      <c r="H13" s="8" t="s">
        <v>136</v>
      </c>
    </row>
    <row r="14" customFormat="false" ht="23.85" hidden="false" customHeight="false" outlineLevel="0" collapsed="false">
      <c r="A14" s="8" t="s">
        <v>113</v>
      </c>
      <c r="B14" s="8" t="s">
        <v>131</v>
      </c>
      <c r="C14" s="8" t="s">
        <v>158</v>
      </c>
      <c r="D14" s="9" t="s">
        <v>159</v>
      </c>
      <c r="E14" s="9" t="s">
        <v>160</v>
      </c>
      <c r="F14" s="8" t="s">
        <v>44</v>
      </c>
      <c r="G14" s="8" t="s">
        <v>135</v>
      </c>
      <c r="H14" s="8" t="s">
        <v>136</v>
      </c>
    </row>
    <row r="16" customFormat="false" ht="15" hidden="false" customHeight="false" outlineLevel="0" collapsed="false">
      <c r="A16" s="10" t="s">
        <v>161</v>
      </c>
    </row>
    <row r="17" customFormat="false" ht="15" hidden="false" customHeight="false" outlineLevel="0" collapsed="false">
      <c r="A17" s="11" t="s">
        <v>162</v>
      </c>
      <c r="B17" s="12" t="n">
        <f aca="false">COUNTA(A2:A14)</f>
        <v>13</v>
      </c>
    </row>
    <row r="18" customFormat="false" ht="15" hidden="false" customHeight="false" outlineLevel="0" collapsed="false">
      <c r="A18" s="11" t="s">
        <v>163</v>
      </c>
      <c r="B18" s="12" t="n">
        <f aca="false">COUNTIF(B2:B14,"PASS")</f>
        <v>4</v>
      </c>
    </row>
    <row r="19" customFormat="false" ht="15" hidden="false" customHeight="false" outlineLevel="0" collapsed="false">
      <c r="A19" s="11" t="s">
        <v>164</v>
      </c>
      <c r="B19" s="13" t="n">
        <f aca="false">COUNTIF(B2:B14,"FLAG")</f>
        <v>9</v>
      </c>
    </row>
    <row r="20" customFormat="false" ht="15" hidden="false" customHeight="false" outlineLevel="0" collapsed="false">
      <c r="A20" s="11" t="s">
        <v>165</v>
      </c>
      <c r="B20" s="13" t="n">
        <f aca="false">SUM(F2:F14)</f>
        <v>0</v>
      </c>
    </row>
    <row r="21" customFormat="false" ht="15" hidden="false" customHeight="false" outlineLevel="0" collapsed="false">
      <c r="A21" s="11" t="s">
        <v>166</v>
      </c>
      <c r="B21" s="13" t="n">
        <f aca="false">SUM(H2:H14)</f>
        <v>0</v>
      </c>
    </row>
    <row r="22" customFormat="false" ht="15" hidden="false" customHeight="false" outlineLevel="0" collapsed="false">
      <c r="A22" s="11" t="s">
        <v>167</v>
      </c>
      <c r="B22" s="14" t="n">
        <f aca="false">COUNTIF(B2:B14,"PASS")/COUNTA(A2:A14)</f>
        <v>0.307692307692308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5" hidden="false" customHeight="false" outlineLevel="0" collapsed="false">
      <c r="A1" s="4" t="s">
        <v>168</v>
      </c>
      <c r="B1" s="4" t="s">
        <v>169</v>
      </c>
    </row>
    <row r="2" customFormat="false" ht="15" hidden="false" customHeight="false" outlineLevel="0" collapsed="false">
      <c r="A2" s="15" t="s">
        <v>170</v>
      </c>
      <c r="B2" s="16" t="s">
        <v>171</v>
      </c>
    </row>
    <row r="3" customFormat="false" ht="23.85" hidden="false" customHeight="false" outlineLevel="0" collapsed="false">
      <c r="A3" s="15" t="s">
        <v>172</v>
      </c>
      <c r="B3" s="16" t="s">
        <v>173</v>
      </c>
    </row>
    <row r="4" customFormat="false" ht="23.85" hidden="false" customHeight="false" outlineLevel="0" collapsed="false">
      <c r="A4" s="15" t="s">
        <v>174</v>
      </c>
      <c r="B4" s="16" t="s">
        <v>175</v>
      </c>
    </row>
    <row r="5" customFormat="false" ht="23.85" hidden="false" customHeight="false" outlineLevel="0" collapsed="false">
      <c r="A5" s="15" t="s">
        <v>176</v>
      </c>
      <c r="B5" s="16" t="s">
        <v>177</v>
      </c>
    </row>
    <row r="6" customFormat="false" ht="23.85" hidden="false" customHeight="false" outlineLevel="0" collapsed="false">
      <c r="A6" s="15" t="s">
        <v>178</v>
      </c>
      <c r="B6" s="16" t="s">
        <v>179</v>
      </c>
    </row>
    <row r="7" customFormat="false" ht="23.85" hidden="false" customHeight="false" outlineLevel="0" collapsed="false">
      <c r="A7" s="15" t="s">
        <v>180</v>
      </c>
      <c r="B7" s="16" t="s">
        <v>181</v>
      </c>
    </row>
    <row r="8" customFormat="false" ht="23.85" hidden="false" customHeight="false" outlineLevel="0" collapsed="false">
      <c r="A8" s="15" t="s">
        <v>182</v>
      </c>
      <c r="B8" s="16" t="s">
        <v>183</v>
      </c>
    </row>
    <row r="9" customFormat="false" ht="15" hidden="false" customHeight="false" outlineLevel="0" collapsed="false">
      <c r="A9" s="15" t="s">
        <v>184</v>
      </c>
      <c r="B9" s="16" t="s">
        <v>185</v>
      </c>
    </row>
    <row r="10" customFormat="false" ht="15" hidden="false" customHeight="false" outlineLevel="0" collapsed="false">
      <c r="A10" s="15" t="s">
        <v>186</v>
      </c>
      <c r="B10" s="16" t="s">
        <v>187</v>
      </c>
    </row>
    <row r="11" customFormat="false" ht="35.05" hidden="false" customHeight="false" outlineLevel="0" collapsed="false">
      <c r="A11" s="15" t="s">
        <v>188</v>
      </c>
      <c r="B11" s="16"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2026-06-09T11:55:29Z</dcterms:created>
  <dc:creator>openpyxl</dc:creator>
  <dc:description/>
  <dc:language>en-US</dc:language>
  <cp:lastModifiedBy/>
  <dcterms:modified xsi:type="dcterms:W3CDTF">2026-06-09T11:55:29Z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